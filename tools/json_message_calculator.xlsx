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Documents\GitHub\ESP32TimeServer\tools\"/>
    </mc:Choice>
  </mc:AlternateContent>
  <xr:revisionPtr revIDLastSave="0" documentId="13_ncr:1_{70433803-C8D9-4608-AED8-508424E4D66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JSON Size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1" l="1"/>
  <c r="G49" i="1"/>
  <c r="F48" i="1"/>
  <c r="F5" i="1"/>
  <c r="G5" i="1"/>
  <c r="F6" i="1"/>
  <c r="G6" i="1" s="1"/>
  <c r="F7" i="1"/>
  <c r="G7" i="1"/>
  <c r="F8" i="1"/>
  <c r="G8" i="1"/>
  <c r="F9" i="1"/>
  <c r="G9" i="1"/>
  <c r="F10" i="1"/>
  <c r="G10" i="1"/>
  <c r="F11" i="1"/>
  <c r="G11" i="1" s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 s="1"/>
  <c r="F19" i="1"/>
  <c r="G19" i="1"/>
  <c r="F20" i="1"/>
  <c r="G20" i="1" s="1"/>
  <c r="F21" i="1"/>
  <c r="G21" i="1"/>
  <c r="F22" i="1"/>
  <c r="G22" i="1" s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 s="1"/>
  <c r="F31" i="1"/>
  <c r="G31" i="1"/>
  <c r="F32" i="1"/>
  <c r="G32" i="1"/>
  <c r="F33" i="1"/>
  <c r="G33" i="1" s="1"/>
  <c r="F34" i="1"/>
  <c r="G34" i="1"/>
  <c r="F35" i="1"/>
  <c r="G35" i="1"/>
  <c r="F36" i="1"/>
  <c r="G36" i="1"/>
  <c r="F37" i="1"/>
  <c r="G37" i="1"/>
  <c r="F38" i="1"/>
  <c r="G38" i="1" s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50" i="1"/>
  <c r="G50" i="1"/>
  <c r="F51" i="1"/>
  <c r="G51" i="1"/>
  <c r="F52" i="1"/>
  <c r="G52" i="1"/>
  <c r="F53" i="1"/>
  <c r="G53" i="1"/>
  <c r="F54" i="1"/>
  <c r="G54" i="1" s="1"/>
  <c r="F55" i="1"/>
  <c r="G55" i="1"/>
  <c r="F56" i="1"/>
  <c r="G56" i="1"/>
  <c r="F57" i="1"/>
  <c r="G57" i="1" s="1"/>
  <c r="F58" i="1"/>
  <c r="G58" i="1"/>
  <c r="E59" i="1"/>
  <c r="F59" i="1"/>
  <c r="E60" i="1"/>
  <c r="G60" i="1" s="1"/>
  <c r="F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 s="1"/>
  <c r="F70" i="1"/>
  <c r="G70" i="1"/>
  <c r="F71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C92" i="1"/>
  <c r="D92" i="1"/>
  <c r="I90" i="1"/>
  <c r="I89" i="1"/>
  <c r="I88" i="1"/>
  <c r="I84" i="1"/>
  <c r="I79" i="1"/>
  <c r="I75" i="1"/>
  <c r="I74" i="1"/>
  <c r="I73" i="1"/>
  <c r="I72" i="1"/>
  <c r="I71" i="1"/>
  <c r="I70" i="1"/>
  <c r="I68" i="1"/>
  <c r="I67" i="1"/>
  <c r="I66" i="1"/>
  <c r="I63" i="1"/>
  <c r="I62" i="1"/>
  <c r="I61" i="1"/>
  <c r="I58" i="1"/>
  <c r="I57" i="1"/>
  <c r="I56" i="1"/>
  <c r="I52" i="1"/>
  <c r="I48" i="1"/>
  <c r="I47" i="1"/>
  <c r="I41" i="1"/>
  <c r="I40" i="1"/>
  <c r="I39" i="1"/>
  <c r="I38" i="1"/>
  <c r="I36" i="1"/>
  <c r="I35" i="1"/>
  <c r="I34" i="1"/>
  <c r="I33" i="1"/>
  <c r="I31" i="1"/>
  <c r="I30" i="1"/>
  <c r="I29" i="1"/>
  <c r="I25" i="1"/>
  <c r="I24" i="1"/>
  <c r="I20" i="1"/>
  <c r="I15" i="1"/>
  <c r="I9" i="1"/>
  <c r="I8" i="1"/>
  <c r="I7" i="1"/>
  <c r="I6" i="1"/>
  <c r="F49" i="1"/>
  <c r="I91" i="1"/>
  <c r="I87" i="1"/>
  <c r="I86" i="1"/>
  <c r="I85" i="1"/>
  <c r="I83" i="1"/>
  <c r="I82" i="1"/>
  <c r="I81" i="1"/>
  <c r="I80" i="1"/>
  <c r="I78" i="1"/>
  <c r="I77" i="1"/>
  <c r="I76" i="1"/>
  <c r="I69" i="1"/>
  <c r="I65" i="1"/>
  <c r="I64" i="1"/>
  <c r="I60" i="1"/>
  <c r="I59" i="1"/>
  <c r="I55" i="1"/>
  <c r="I54" i="1"/>
  <c r="I53" i="1"/>
  <c r="I51" i="1"/>
  <c r="I50" i="1"/>
  <c r="I49" i="1"/>
  <c r="I46" i="1"/>
  <c r="I45" i="1"/>
  <c r="I44" i="1"/>
  <c r="I43" i="1"/>
  <c r="I42" i="1"/>
  <c r="I37" i="1"/>
  <c r="I32" i="1"/>
  <c r="I28" i="1"/>
  <c r="I27" i="1"/>
  <c r="I26" i="1"/>
  <c r="I23" i="1"/>
  <c r="I22" i="1"/>
  <c r="I21" i="1"/>
  <c r="I19" i="1"/>
  <c r="I18" i="1"/>
  <c r="I17" i="1"/>
  <c r="I16" i="1"/>
  <c r="I14" i="1"/>
  <c r="I13" i="1"/>
  <c r="I12" i="1"/>
  <c r="I11" i="1"/>
  <c r="I10" i="1"/>
  <c r="I5" i="1"/>
  <c r="G59" i="1" l="1"/>
  <c r="G94" i="1"/>
  <c r="F92" i="1"/>
</calcChain>
</file>

<file path=xl/sharedStrings.xml><?xml version="1.0" encoding="utf-8"?>
<sst xmlns="http://schemas.openxmlformats.org/spreadsheetml/2006/main" count="194" uniqueCount="171">
  <si>
    <t>Component / JSON key or structural token</t>
  </si>
  <si>
    <t>Emitted JSON / purpose</t>
  </si>
  <si>
    <t>Max value chars</t>
  </si>
  <si>
    <t>User value chars (editable)</t>
  </si>
  <si>
    <t>Repetitions</t>
  </si>
  <si>
    <t>Fixed bytes</t>
  </si>
  <si>
    <t>Total bytes</t>
  </si>
  <si>
    <t>Opening object</t>
  </si>
  <si>
    <t>{</t>
  </si>
  <si>
    <t>current</t>
  </si>
  <si>
    <t>time</t>
  </si>
  <si>
    <t>uptime</t>
  </si>
  <si>
    <t>ethernet_up</t>
  </si>
  <si>
    <t>gnss_synchronized</t>
  </si>
  <si>
    <t>gnss_synchronized_indicators</t>
  </si>
  <si>
    <t>"gnss_synchronized_indicators":{</t>
  </si>
  <si>
    <t>locked</t>
  </si>
  <si>
    <t>timing</t>
  </si>
  <si>
    <t>gnss_valid</t>
  </si>
  <si>
    <t>sync_fresh</t>
  </si>
  <si>
    <t>sanity_check_passed</t>
  </si>
  <si>
    <t>close indicators</t>
  </si>
  <si>
    <t>},</t>
  </si>
  <si>
    <t>pps_disciplined</t>
  </si>
  <si>
    <t>pps_disciplined_indicators</t>
  </si>
  <si>
    <t>"pps_disciplined_indicators":{</t>
  </si>
  <si>
    <t>pps_signals_present</t>
  </si>
  <si>
    <t>discipline_active</t>
  </si>
  <si>
    <t>pps_synchronized</t>
  </si>
  <si>
    <t>close pps indicators</t>
  </si>
  <si>
    <t>satellites</t>
  </si>
  <si>
    <t>comma</t>
  </si>
  <si>
    <t>,</t>
  </si>
  <si>
    <t>memory</t>
  </si>
  <si>
    <t>"memory":{</t>
  </si>
  <si>
    <t>malloc_cap_dma</t>
  </si>
  <si>
    <t>free_heap</t>
  </si>
  <si>
    <t>minimum_free_heap</t>
  </si>
  <si>
    <t>largest_free_8bit_block</t>
  </si>
  <si>
    <t>close memory and current</t>
  </si>
  <si>
    <t>}},</t>
  </si>
  <si>
    <t>queued_messages</t>
  </si>
  <si>
    <t>"queued_messages":{</t>
  </si>
  <si>
    <t>held</t>
  </si>
  <si>
    <t>discarded</t>
  </si>
  <si>
    <t>close queued_messages</t>
  </si>
  <si>
    <t>this_period</t>
  </si>
  <si>
    <t>"this_period":{</t>
  </si>
  <si>
    <t>ethernet_up_secs</t>
  </si>
  <si>
    <t>pps_pulses</t>
  </si>
  <si>
    <t>gnss_locked_secs</t>
  </si>
  <si>
    <t>"satellites":{</t>
  </si>
  <si>
    <t>min</t>
  </si>
  <si>
    <t>max</t>
  </si>
  <si>
    <t>close period satellites</t>
  </si>
  <si>
    <t>ntp</t>
  </si>
  <si>
    <t>"ntp":{</t>
  </si>
  <si>
    <t>requests</t>
  </si>
  <si>
    <t>"requests":{</t>
  </si>
  <si>
    <t>valid</t>
  </si>
  <si>
    <t>invalid</t>
  </si>
  <si>
    <t>telemetry_dropped</t>
  </si>
  <si>
    <t>max_per_second</t>
  </si>
  <si>
    <t>close requests</t>
  </si>
  <si>
    <t>responses</t>
  </si>
  <si>
    <t>"responses":{</t>
  </si>
  <si>
    <t>synchronized_and_disciplined</t>
  </si>
  <si>
    <t>gnss_unsynchronized</t>
  </si>
  <si>
    <t>pps_undisciplined</t>
  </si>
  <si>
    <t>close responses</t>
  </si>
  <si>
    <t>}</t>
  </si>
  <si>
    <t>close ntp</t>
  </si>
  <si>
    <t>clients</t>
  </si>
  <si>
    <t>"clients":[</t>
  </si>
  <si>
    <t>client entry</t>
  </si>
  <si>
    <t>client comma</t>
  </si>
  <si>
    <t>close clients</t>
  </si>
  <si>
    <t>],</t>
  </si>
  <si>
    <t>clients_overflown</t>
  </si>
  <si>
    <t>close this period</t>
  </si>
  <si>
    <t>historical</t>
  </si>
  <si>
    <t>"historical":{</t>
  </si>
  <si>
    <t>gnss_receiver_last</t>
  </si>
  <si>
    <t>"gnss_receiver_last":{</t>
  </si>
  <si>
    <t>close receiver</t>
  </si>
  <si>
    <t>close historical</t>
  </si>
  <si>
    <t>close root</t>
  </si>
  <si>
    <t>NUL terminator</t>
  </si>
  <si>
    <t>NUL</t>
  </si>
  <si>
    <t>Future 01</t>
  </si>
  <si>
    <t>Future 02</t>
  </si>
  <si>
    <t>Future 03</t>
  </si>
  <si>
    <t>Future 04</t>
  </si>
  <si>
    <t>Future 05</t>
  </si>
  <si>
    <t>Future 06</t>
  </si>
  <si>
    <t>Future 07</t>
  </si>
  <si>
    <t>Future 08</t>
  </si>
  <si>
    <t>Future 09</t>
  </si>
  <si>
    <t>Future 10</t>
  </si>
  <si>
    <t>Future 11</t>
  </si>
  <si>
    <t>Future 12</t>
  </si>
  <si>
    <t>Future 13</t>
  </si>
  <si>
    <t>Future 14</t>
  </si>
  <si>
    <t>Future 15</t>
  </si>
  <si>
    <t>Future 16</t>
  </si>
  <si>
    <t>Future 17</t>
  </si>
  <si>
    <t>Future 18</t>
  </si>
  <si>
    <t>Future 19</t>
  </si>
  <si>
    <t>Grand total</t>
  </si>
  <si>
    <t>Setting</t>
  </si>
  <si>
    <t>Value</t>
  </si>
  <si>
    <t>Max client entries</t>
  </si>
  <si>
    <t>Reduced</t>
  </si>
  <si>
    <t>assume no more that 999 satellites are in view</t>
  </si>
  <si>
    <t>assume less than 9,999 queued messages</t>
  </si>
  <si>
    <t>assume less than 9,999 discarded messages</t>
  </si>
  <si>
    <t>assume reporting period &lt;= 99999 seconds</t>
  </si>
  <si>
    <t>Notes</t>
  </si>
  <si>
    <t>assume values &lt; 99999</t>
  </si>
  <si>
    <t>this number is tied to the reporting period, assume it is a year or less ( there are 31,536,000 seconds in a year)</t>
  </si>
  <si>
    <t>assume no more that 999 satellites</t>
  </si>
  <si>
    <t>leave high for stress testing over long reporting periods</t>
  </si>
  <si>
    <t>assume &lt;=  99,999</t>
  </si>
  <si>
    <t>this number is tied to the reporting period, assume it is a month or less ( there are 2,678,4000 seconds in 31 day month - so 7 digits)</t>
  </si>
  <si>
    <t>See 'Settings' work tab for more information; address = 39 char max (for an IPv6 address) + 10 for request count = 49</t>
  </si>
  <si>
    <t>C/D are character capacities; formulas use editable D values. Future rows are reserved for future use but includeed in the grand total.</t>
  </si>
  <si>
    <t>Maximum JSON message bytes (based on Max client entries in Settiings worktab ) (including NUL)</t>
  </si>
  <si>
    <t>Notes:</t>
  </si>
  <si>
    <t xml:space="preserve"> &lt;&lt; set to 50 to calculate MQTT_REPORT_SIZE;          set to the value of MQTT_TF_Client_Limit to calculate MQTT_MAX_REPORT_SIZE</t>
  </si>
  <si>
    <t>includes cr/lf ?</t>
  </si>
  <si>
    <t>"current":{</t>
  </si>
  <si>
    <t>"time":"",</t>
  </si>
  <si>
    <t>"uptime":,</t>
  </si>
  <si>
    <t>"ethernet_up":,</t>
  </si>
  <si>
    <t>"gnss_synchronized":,</t>
  </si>
  <si>
    <t>"locked":,</t>
  </si>
  <si>
    <t>"timing":,</t>
  </si>
  <si>
    <t>"gnss_valid":,</t>
  </si>
  <si>
    <t>"sync_fresh":,</t>
  </si>
  <si>
    <t>"sanity_check_passed":</t>
  </si>
  <si>
    <t>"pps_disciplined":,</t>
  </si>
  <si>
    <t>"pps_signals_present":,</t>
  </si>
  <si>
    <t>"discipline_active":,</t>
  </si>
  <si>
    <t>"pps_synchronized":</t>
  </si>
  <si>
    <t>"clients_overflown":</t>
  </si>
  <si>
    <t>"synchronized_and_disciplined":"",</t>
  </si>
  <si>
    <t>"gnss_unsynchronized":"",</t>
  </si>
  <si>
    <t>"pps_undisciplined":""</t>
  </si>
  <si>
    <t>"malloc_cap_dma":,</t>
  </si>
  <si>
    <t>"free_heap":,</t>
  </si>
  <si>
    <t>"minimum_free_heap":,</t>
  </si>
  <si>
    <t>"largest_free_8bit_block":</t>
  </si>
  <si>
    <t>"held":,</t>
  </si>
  <si>
    <t>"discarded":</t>
  </si>
  <si>
    <t>"pps_pulses":,</t>
  </si>
  <si>
    <t>"gnss_locked_secs":,</t>
  </si>
  <si>
    <t>"valid":,</t>
  </si>
  <si>
    <t>"invalid":,</t>
  </si>
  <si>
    <t>"telemetry_dropped":,</t>
  </si>
  <si>
    <t>"max_per_second":</t>
  </si>
  <si>
    <t>"synchronized_and_disciplined":,</t>
  </si>
  <si>
    <t>"gnss_unsynchronized":,</t>
  </si>
  <si>
    <t>"pps_undisciplined":</t>
  </si>
  <si>
    <t>{"address":"","requests":}</t>
  </si>
  <si>
    <t>"satellites":</t>
  </si>
  <si>
    <t>"min":,</t>
  </si>
  <si>
    <t>"max":</t>
  </si>
  <si>
    <t>"ethernet_up_secs":,</t>
  </si>
  <si>
    <t>https://github.com/roblatour/ESP32TimeServer/tree/main/misc</t>
  </si>
  <si>
    <t>"load_shedding":,</t>
  </si>
  <si>
    <t>load_shedding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</si>
</sst>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0" fillId="3" borderId="0" xfId="0" applyFill="1"/>
    <xf numFmtId="0" fontId="4" fillId="0" borderId="0" xfId="0" applyFont="1"/>
    <xf numFmtId="0" fontId="0" fillId="4" borderId="0" xfId="0" applyFill="1"/>
    <xf numFmtId="0" fontId="5" fillId="0" borderId="0" xfId="1"/>
    <xf numFmtId="0" fontId="0" fillId="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roblatour/ESP32TimeServer/tree/main/mi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workbookViewId="0">
      <pane ySplit="4" topLeftCell="A5" activePane="bottomLeft" state="frozen"/>
      <selection pane="bottomLeft" activeCell="B3" sqref="B3"/>
    </sheetView>
  </sheetViews>
  <sheetFormatPr defaultRowHeight="15" x14ac:dyDescent="0.25"/>
  <cols>
    <col min="1" max="1" width="27.7109375" customWidth="1"/>
    <col min="2" max="2" width="30" customWidth="1"/>
    <col min="3" max="3" width="30.28515625" bestFit="1" customWidth="1"/>
    <col min="4" max="4" width="15.28515625" bestFit="1" customWidth="1"/>
    <col min="5" max="5" width="15.5703125" bestFit="1" customWidth="1"/>
    <col min="6" max="6" width="11.28515625" bestFit="1" customWidth="1"/>
    <col min="7" max="7" width="14" customWidth="1"/>
    <col min="8" max="8" width="4.5703125" customWidth="1"/>
    <col min="9" max="9" width="8.7109375" style="3" bestFit="1" customWidth="1"/>
    <col min="10" max="10" width="43.28515625" customWidth="1"/>
  </cols>
  <sheetData>
    <row r="1" spans="1:10" x14ac:dyDescent="0.25">
      <c r="A1" s="1" t="s">
        <v>109</v>
      </c>
      <c r="B1" s="1" t="s">
        <v>110</v>
      </c>
    </row>
    <row r="2" spans="1:10" x14ac:dyDescent="0.25">
      <c r="A2" t="s">
        <v>111</v>
      </c>
      <c r="B2" s="7">
        <v>500</v>
      </c>
      <c r="C2" s="4" t="s">
        <v>128</v>
      </c>
    </row>
    <row r="4" spans="1:10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I4" s="2" t="s">
        <v>112</v>
      </c>
      <c r="J4" s="1" t="s">
        <v>117</v>
      </c>
    </row>
    <row r="5" spans="1:10" x14ac:dyDescent="0.25">
      <c r="A5" t="s">
        <v>7</v>
      </c>
      <c r="B5" t="s">
        <v>8</v>
      </c>
      <c r="C5">
        <v>0</v>
      </c>
      <c r="D5">
        <v>0</v>
      </c>
      <c r="E5">
        <v>1</v>
      </c>
      <c r="F5">
        <f>LEN(B5)</f>
        <v>1</v>
      </c>
      <c r="G5">
        <f t="shared" ref="G5:G36" si="0">(D5+F5)*E5</f>
        <v>1</v>
      </c>
      <c r="I5" s="3" t="str">
        <f t="shared" ref="I5:I23" si="1">IF(C5-D5&gt;0," * ", " ")</f>
        <v xml:space="preserve"> </v>
      </c>
    </row>
    <row r="6" spans="1:10" x14ac:dyDescent="0.25">
      <c r="A6" t="s">
        <v>9</v>
      </c>
      <c r="B6" t="s">
        <v>130</v>
      </c>
      <c r="C6">
        <v>0</v>
      </c>
      <c r="D6">
        <v>0</v>
      </c>
      <c r="E6">
        <v>1</v>
      </c>
      <c r="F6">
        <f>LEN(B6)</f>
        <v>11</v>
      </c>
      <c r="G6">
        <f t="shared" si="0"/>
        <v>11</v>
      </c>
      <c r="I6" s="3" t="str">
        <f t="shared" si="1"/>
        <v xml:space="preserve"> </v>
      </c>
      <c r="J6" t="s">
        <v>129</v>
      </c>
    </row>
    <row r="7" spans="1:10" x14ac:dyDescent="0.25">
      <c r="A7" t="s">
        <v>10</v>
      </c>
      <c r="B7" t="s">
        <v>131</v>
      </c>
      <c r="C7">
        <v>24</v>
      </c>
      <c r="D7">
        <v>24</v>
      </c>
      <c r="E7">
        <v>1</v>
      </c>
      <c r="F7">
        <f t="shared" ref="F7:F71" si="2">LEN(B7)</f>
        <v>10</v>
      </c>
      <c r="G7">
        <f>(D7+F7)*E7</f>
        <v>34</v>
      </c>
      <c r="I7" s="3" t="str">
        <f t="shared" si="1"/>
        <v xml:space="preserve"> </v>
      </c>
    </row>
    <row r="8" spans="1:10" x14ac:dyDescent="0.25">
      <c r="A8" t="s">
        <v>11</v>
      </c>
      <c r="B8" t="s">
        <v>132</v>
      </c>
      <c r="C8">
        <v>10</v>
      </c>
      <c r="D8">
        <v>10</v>
      </c>
      <c r="E8">
        <v>1</v>
      </c>
      <c r="F8">
        <f t="shared" si="2"/>
        <v>10</v>
      </c>
      <c r="G8">
        <f>(D8+F8)*E8</f>
        <v>20</v>
      </c>
      <c r="I8" s="3" t="str">
        <f t="shared" si="1"/>
        <v xml:space="preserve"> </v>
      </c>
    </row>
    <row r="9" spans="1:10" x14ac:dyDescent="0.25">
      <c r="A9" t="s">
        <v>12</v>
      </c>
      <c r="B9" t="s">
        <v>133</v>
      </c>
      <c r="C9">
        <v>5</v>
      </c>
      <c r="D9">
        <v>5</v>
      </c>
      <c r="E9">
        <v>1</v>
      </c>
      <c r="F9">
        <f t="shared" si="2"/>
        <v>15</v>
      </c>
      <c r="G9">
        <f t="shared" si="0"/>
        <v>20</v>
      </c>
      <c r="I9" s="3" t="str">
        <f t="shared" si="1"/>
        <v xml:space="preserve"> </v>
      </c>
    </row>
    <row r="10" spans="1:10" x14ac:dyDescent="0.25">
      <c r="A10" t="s">
        <v>13</v>
      </c>
      <c r="B10" t="s">
        <v>134</v>
      </c>
      <c r="C10">
        <v>5</v>
      </c>
      <c r="D10">
        <v>5</v>
      </c>
      <c r="E10">
        <v>1</v>
      </c>
      <c r="F10">
        <f t="shared" si="2"/>
        <v>21</v>
      </c>
      <c r="G10">
        <f t="shared" si="0"/>
        <v>26</v>
      </c>
      <c r="I10" s="3" t="str">
        <f t="shared" si="1"/>
        <v xml:space="preserve"> </v>
      </c>
    </row>
    <row r="11" spans="1:10" x14ac:dyDescent="0.25">
      <c r="A11" t="s">
        <v>14</v>
      </c>
      <c r="B11" t="s">
        <v>15</v>
      </c>
      <c r="C11">
        <v>0</v>
      </c>
      <c r="D11">
        <v>0</v>
      </c>
      <c r="E11">
        <v>1</v>
      </c>
      <c r="F11">
        <f t="shared" si="2"/>
        <v>32</v>
      </c>
      <c r="G11">
        <f t="shared" si="0"/>
        <v>32</v>
      </c>
      <c r="I11" s="3" t="str">
        <f t="shared" si="1"/>
        <v xml:space="preserve"> </v>
      </c>
    </row>
    <row r="12" spans="1:10" x14ac:dyDescent="0.25">
      <c r="A12" t="s">
        <v>16</v>
      </c>
      <c r="B12" t="s">
        <v>135</v>
      </c>
      <c r="C12">
        <v>5</v>
      </c>
      <c r="D12">
        <v>5</v>
      </c>
      <c r="E12">
        <v>1</v>
      </c>
      <c r="F12">
        <f t="shared" si="2"/>
        <v>10</v>
      </c>
      <c r="G12">
        <f t="shared" si="0"/>
        <v>15</v>
      </c>
      <c r="I12" s="3" t="str">
        <f t="shared" si="1"/>
        <v xml:space="preserve"> </v>
      </c>
    </row>
    <row r="13" spans="1:10" x14ac:dyDescent="0.25">
      <c r="A13" t="s">
        <v>17</v>
      </c>
      <c r="B13" t="s">
        <v>136</v>
      </c>
      <c r="C13">
        <v>5</v>
      </c>
      <c r="D13">
        <v>5</v>
      </c>
      <c r="E13">
        <v>1</v>
      </c>
      <c r="F13">
        <f t="shared" si="2"/>
        <v>10</v>
      </c>
      <c r="G13">
        <f t="shared" si="0"/>
        <v>15</v>
      </c>
      <c r="I13" s="3" t="str">
        <f t="shared" si="1"/>
        <v xml:space="preserve"> </v>
      </c>
    </row>
    <row r="14" spans="1:10" x14ac:dyDescent="0.25">
      <c r="A14" t="s">
        <v>18</v>
      </c>
      <c r="B14" t="s">
        <v>137</v>
      </c>
      <c r="C14">
        <v>5</v>
      </c>
      <c r="D14">
        <v>5</v>
      </c>
      <c r="E14">
        <v>1</v>
      </c>
      <c r="F14">
        <f t="shared" si="2"/>
        <v>14</v>
      </c>
      <c r="G14">
        <f t="shared" si="0"/>
        <v>19</v>
      </c>
      <c r="I14" s="3" t="str">
        <f t="shared" si="1"/>
        <v xml:space="preserve"> </v>
      </c>
    </row>
    <row r="15" spans="1:10" x14ac:dyDescent="0.25">
      <c r="A15" t="s">
        <v>19</v>
      </c>
      <c r="B15" t="s">
        <v>138</v>
      </c>
      <c r="C15">
        <v>5</v>
      </c>
      <c r="D15">
        <v>5</v>
      </c>
      <c r="E15">
        <v>1</v>
      </c>
      <c r="F15">
        <f t="shared" si="2"/>
        <v>14</v>
      </c>
      <c r="G15">
        <f t="shared" si="0"/>
        <v>19</v>
      </c>
      <c r="I15" s="3" t="str">
        <f t="shared" si="1"/>
        <v xml:space="preserve"> </v>
      </c>
    </row>
    <row r="16" spans="1:10" x14ac:dyDescent="0.25">
      <c r="A16" t="s">
        <v>20</v>
      </c>
      <c r="B16" t="s">
        <v>139</v>
      </c>
      <c r="C16">
        <v>5</v>
      </c>
      <c r="D16">
        <v>5</v>
      </c>
      <c r="E16">
        <v>1</v>
      </c>
      <c r="F16">
        <f t="shared" si="2"/>
        <v>22</v>
      </c>
      <c r="G16">
        <f t="shared" si="0"/>
        <v>27</v>
      </c>
      <c r="I16" s="3" t="str">
        <f t="shared" si="1"/>
        <v xml:space="preserve"> </v>
      </c>
    </row>
    <row r="17" spans="1:10" x14ac:dyDescent="0.25">
      <c r="A17" t="s">
        <v>21</v>
      </c>
      <c r="B17" t="s">
        <v>22</v>
      </c>
      <c r="C17">
        <v>0</v>
      </c>
      <c r="D17">
        <v>0</v>
      </c>
      <c r="E17">
        <v>1</v>
      </c>
      <c r="F17">
        <f t="shared" si="2"/>
        <v>2</v>
      </c>
      <c r="G17">
        <f t="shared" si="0"/>
        <v>2</v>
      </c>
      <c r="I17" s="3" t="str">
        <f t="shared" si="1"/>
        <v xml:space="preserve"> </v>
      </c>
    </row>
    <row r="18" spans="1:10" x14ac:dyDescent="0.25">
      <c r="A18" t="s">
        <v>23</v>
      </c>
      <c r="B18" t="s">
        <v>140</v>
      </c>
      <c r="C18">
        <v>5</v>
      </c>
      <c r="D18">
        <v>5</v>
      </c>
      <c r="E18">
        <v>1</v>
      </c>
      <c r="F18">
        <f t="shared" si="2"/>
        <v>19</v>
      </c>
      <c r="G18">
        <f t="shared" si="0"/>
        <v>24</v>
      </c>
      <c r="I18" s="3" t="str">
        <f t="shared" si="1"/>
        <v xml:space="preserve"> </v>
      </c>
    </row>
    <row r="19" spans="1:10" x14ac:dyDescent="0.25">
      <c r="A19" t="s">
        <v>24</v>
      </c>
      <c r="B19" t="s">
        <v>25</v>
      </c>
      <c r="C19">
        <v>0</v>
      </c>
      <c r="D19">
        <v>0</v>
      </c>
      <c r="E19">
        <v>1</v>
      </c>
      <c r="F19">
        <f t="shared" si="2"/>
        <v>30</v>
      </c>
      <c r="G19">
        <f t="shared" si="0"/>
        <v>30</v>
      </c>
      <c r="I19" s="3" t="str">
        <f t="shared" si="1"/>
        <v xml:space="preserve"> </v>
      </c>
    </row>
    <row r="20" spans="1:10" x14ac:dyDescent="0.25">
      <c r="A20" t="s">
        <v>26</v>
      </c>
      <c r="B20" t="s">
        <v>141</v>
      </c>
      <c r="C20">
        <v>10</v>
      </c>
      <c r="D20" s="5">
        <v>5</v>
      </c>
      <c r="E20">
        <v>1</v>
      </c>
      <c r="F20">
        <f t="shared" si="2"/>
        <v>23</v>
      </c>
      <c r="G20">
        <f>(D20+F20)*E20</f>
        <v>28</v>
      </c>
      <c r="I20" s="3" t="str">
        <f t="shared" si="1"/>
        <v xml:space="preserve"> * </v>
      </c>
      <c r="J20" t="s">
        <v>116</v>
      </c>
    </row>
    <row r="21" spans="1:10" x14ac:dyDescent="0.25">
      <c r="A21" t="s">
        <v>27</v>
      </c>
      <c r="B21" t="s">
        <v>142</v>
      </c>
      <c r="C21">
        <v>10</v>
      </c>
      <c r="D21" s="5">
        <v>5</v>
      </c>
      <c r="E21">
        <v>1</v>
      </c>
      <c r="F21">
        <f t="shared" si="2"/>
        <v>21</v>
      </c>
      <c r="G21">
        <f t="shared" si="0"/>
        <v>26</v>
      </c>
      <c r="I21" s="3" t="str">
        <f t="shared" si="1"/>
        <v xml:space="preserve"> * </v>
      </c>
      <c r="J21" t="s">
        <v>116</v>
      </c>
    </row>
    <row r="22" spans="1:10" x14ac:dyDescent="0.25">
      <c r="A22" t="s">
        <v>28</v>
      </c>
      <c r="B22" t="s">
        <v>143</v>
      </c>
      <c r="C22">
        <v>10</v>
      </c>
      <c r="D22" s="5">
        <v>5</v>
      </c>
      <c r="E22">
        <v>1</v>
      </c>
      <c r="F22">
        <f t="shared" si="2"/>
        <v>19</v>
      </c>
      <c r="G22">
        <f t="shared" si="0"/>
        <v>24</v>
      </c>
      <c r="I22" s="3" t="str">
        <f t="shared" si="1"/>
        <v xml:space="preserve"> * </v>
      </c>
      <c r="J22" t="s">
        <v>116</v>
      </c>
    </row>
    <row r="23" spans="1:10" x14ac:dyDescent="0.25">
      <c r="A23" t="s">
        <v>29</v>
      </c>
      <c r="B23" t="s">
        <v>22</v>
      </c>
      <c r="C23">
        <v>0</v>
      </c>
      <c r="D23">
        <v>0</v>
      </c>
      <c r="E23">
        <v>1</v>
      </c>
      <c r="F23">
        <f t="shared" si="2"/>
        <v>2</v>
      </c>
      <c r="G23">
        <f t="shared" si="0"/>
        <v>2</v>
      </c>
      <c r="I23" s="3" t="str">
        <f t="shared" si="1"/>
        <v xml:space="preserve"> </v>
      </c>
    </row>
    <row r="24" spans="1:10" x14ac:dyDescent="0.25">
      <c r="A24" t="s">
        <v>30</v>
      </c>
      <c r="B24" t="s">
        <v>164</v>
      </c>
      <c r="C24">
        <v>10</v>
      </c>
      <c r="D24" s="5">
        <v>3</v>
      </c>
      <c r="E24">
        <v>1</v>
      </c>
      <c r="F24">
        <f t="shared" si="2"/>
        <v>13</v>
      </c>
      <c r="G24">
        <f t="shared" si="0"/>
        <v>16</v>
      </c>
      <c r="I24" s="3" t="str">
        <f>IF(C24-D24&gt;0," * ", " ")</f>
        <v xml:space="preserve"> * </v>
      </c>
      <c r="J24" s="4" t="s">
        <v>113</v>
      </c>
    </row>
    <row r="25" spans="1:10" x14ac:dyDescent="0.25">
      <c r="A25" t="s">
        <v>31</v>
      </c>
      <c r="B25" t="s">
        <v>32</v>
      </c>
      <c r="C25">
        <v>0</v>
      </c>
      <c r="D25">
        <v>0</v>
      </c>
      <c r="E25">
        <v>1</v>
      </c>
      <c r="F25">
        <f t="shared" si="2"/>
        <v>1</v>
      </c>
      <c r="G25">
        <f t="shared" si="0"/>
        <v>1</v>
      </c>
      <c r="I25" s="3" t="str">
        <f t="shared" ref="I25:I89" si="3">IF(C25-D25&gt;0," * ", " ")</f>
        <v xml:space="preserve"> </v>
      </c>
    </row>
    <row r="26" spans="1:10" x14ac:dyDescent="0.25">
      <c r="A26" t="s">
        <v>33</v>
      </c>
      <c r="B26" t="s">
        <v>34</v>
      </c>
      <c r="C26">
        <v>0</v>
      </c>
      <c r="D26">
        <v>0</v>
      </c>
      <c r="E26">
        <v>1</v>
      </c>
      <c r="F26">
        <f t="shared" si="2"/>
        <v>10</v>
      </c>
      <c r="G26">
        <f t="shared" si="0"/>
        <v>10</v>
      </c>
      <c r="I26" s="3" t="str">
        <f t="shared" si="3"/>
        <v xml:space="preserve"> </v>
      </c>
    </row>
    <row r="27" spans="1:10" x14ac:dyDescent="0.25">
      <c r="A27" t="s">
        <v>35</v>
      </c>
      <c r="B27" t="s">
        <v>148</v>
      </c>
      <c r="C27">
        <v>10</v>
      </c>
      <c r="D27" s="5">
        <v>5</v>
      </c>
      <c r="E27">
        <v>1</v>
      </c>
      <c r="F27">
        <f t="shared" si="2"/>
        <v>18</v>
      </c>
      <c r="G27">
        <f t="shared" si="0"/>
        <v>23</v>
      </c>
      <c r="I27" s="3" t="str">
        <f t="shared" si="3"/>
        <v xml:space="preserve"> * </v>
      </c>
      <c r="J27" t="s">
        <v>118</v>
      </c>
    </row>
    <row r="28" spans="1:10" x14ac:dyDescent="0.25">
      <c r="A28" t="s">
        <v>36</v>
      </c>
      <c r="B28" t="s">
        <v>149</v>
      </c>
      <c r="C28">
        <v>10</v>
      </c>
      <c r="D28" s="5">
        <v>5</v>
      </c>
      <c r="E28">
        <v>1</v>
      </c>
      <c r="F28">
        <f t="shared" si="2"/>
        <v>13</v>
      </c>
      <c r="G28">
        <f t="shared" si="0"/>
        <v>18</v>
      </c>
      <c r="I28" s="3" t="str">
        <f t="shared" si="3"/>
        <v xml:space="preserve"> * </v>
      </c>
      <c r="J28" t="s">
        <v>118</v>
      </c>
    </row>
    <row r="29" spans="1:10" x14ac:dyDescent="0.25">
      <c r="A29" t="s">
        <v>37</v>
      </c>
      <c r="B29" t="s">
        <v>150</v>
      </c>
      <c r="C29">
        <v>10</v>
      </c>
      <c r="D29" s="5">
        <v>5</v>
      </c>
      <c r="E29">
        <v>1</v>
      </c>
      <c r="F29">
        <f t="shared" si="2"/>
        <v>21</v>
      </c>
      <c r="G29">
        <f t="shared" si="0"/>
        <v>26</v>
      </c>
      <c r="I29" s="3" t="str">
        <f t="shared" si="3"/>
        <v xml:space="preserve"> * </v>
      </c>
      <c r="J29" t="s">
        <v>118</v>
      </c>
    </row>
    <row r="30" spans="1:10" x14ac:dyDescent="0.25">
      <c r="A30" t="s">
        <v>38</v>
      </c>
      <c r="B30" t="s">
        <v>151</v>
      </c>
      <c r="C30">
        <v>10</v>
      </c>
      <c r="D30" s="5">
        <v>5</v>
      </c>
      <c r="E30">
        <v>1</v>
      </c>
      <c r="F30">
        <f t="shared" si="2"/>
        <v>26</v>
      </c>
      <c r="G30">
        <f t="shared" si="0"/>
        <v>31</v>
      </c>
      <c r="I30" s="3" t="str">
        <f t="shared" si="3"/>
        <v xml:space="preserve"> * </v>
      </c>
      <c r="J30" t="s">
        <v>118</v>
      </c>
    </row>
    <row r="31" spans="1:10" x14ac:dyDescent="0.25">
      <c r="A31" t="s">
        <v>39</v>
      </c>
      <c r="B31" t="s">
        <v>40</v>
      </c>
      <c r="C31">
        <v>0</v>
      </c>
      <c r="D31">
        <v>0</v>
      </c>
      <c r="E31">
        <v>1</v>
      </c>
      <c r="F31">
        <f t="shared" si="2"/>
        <v>3</v>
      </c>
      <c r="G31">
        <f t="shared" si="0"/>
        <v>3</v>
      </c>
      <c r="I31" s="3" t="str">
        <f t="shared" si="3"/>
        <v xml:space="preserve"> </v>
      </c>
    </row>
    <row r="32" spans="1:10" x14ac:dyDescent="0.25">
      <c r="A32" t="s">
        <v>41</v>
      </c>
      <c r="B32" t="s">
        <v>42</v>
      </c>
      <c r="C32">
        <v>0</v>
      </c>
      <c r="D32">
        <v>0</v>
      </c>
      <c r="E32">
        <v>1</v>
      </c>
      <c r="F32">
        <f t="shared" si="2"/>
        <v>19</v>
      </c>
      <c r="G32">
        <f t="shared" si="0"/>
        <v>19</v>
      </c>
      <c r="I32" s="3" t="str">
        <f t="shared" si="3"/>
        <v xml:space="preserve"> </v>
      </c>
    </row>
    <row r="33" spans="1:10" x14ac:dyDescent="0.25">
      <c r="A33" t="s">
        <v>43</v>
      </c>
      <c r="B33" t="s">
        <v>152</v>
      </c>
      <c r="C33">
        <v>10</v>
      </c>
      <c r="D33">
        <v>4</v>
      </c>
      <c r="E33">
        <v>1</v>
      </c>
      <c r="F33">
        <f t="shared" si="2"/>
        <v>8</v>
      </c>
      <c r="G33">
        <f t="shared" si="0"/>
        <v>12</v>
      </c>
      <c r="I33" s="3" t="str">
        <f t="shared" si="3"/>
        <v xml:space="preserve"> * </v>
      </c>
      <c r="J33" s="4" t="s">
        <v>114</v>
      </c>
    </row>
    <row r="34" spans="1:10" x14ac:dyDescent="0.25">
      <c r="A34" t="s">
        <v>44</v>
      </c>
      <c r="B34" t="s">
        <v>153</v>
      </c>
      <c r="C34">
        <v>10</v>
      </c>
      <c r="D34">
        <v>4</v>
      </c>
      <c r="E34">
        <v>1</v>
      </c>
      <c r="F34">
        <f t="shared" si="2"/>
        <v>12</v>
      </c>
      <c r="G34">
        <f t="shared" si="0"/>
        <v>16</v>
      </c>
      <c r="I34" s="3" t="str">
        <f t="shared" si="3"/>
        <v xml:space="preserve"> * </v>
      </c>
      <c r="J34" s="4" t="s">
        <v>115</v>
      </c>
    </row>
    <row r="35" spans="1:10" x14ac:dyDescent="0.25">
      <c r="A35" t="s">
        <v>45</v>
      </c>
      <c r="B35" t="s">
        <v>22</v>
      </c>
      <c r="C35">
        <v>0</v>
      </c>
      <c r="D35">
        <v>0</v>
      </c>
      <c r="E35">
        <v>1</v>
      </c>
      <c r="F35">
        <f t="shared" si="2"/>
        <v>2</v>
      </c>
      <c r="G35">
        <f t="shared" si="0"/>
        <v>2</v>
      </c>
      <c r="I35" s="3" t="str">
        <f t="shared" si="3"/>
        <v xml:space="preserve"> </v>
      </c>
    </row>
    <row r="36" spans="1:10" x14ac:dyDescent="0.25">
      <c r="A36" t="s">
        <v>46</v>
      </c>
      <c r="B36" t="s">
        <v>47</v>
      </c>
      <c r="C36">
        <v>0</v>
      </c>
      <c r="D36">
        <v>0</v>
      </c>
      <c r="E36">
        <v>1</v>
      </c>
      <c r="F36">
        <f t="shared" si="2"/>
        <v>15</v>
      </c>
      <c r="G36">
        <f t="shared" si="0"/>
        <v>15</v>
      </c>
      <c r="I36" s="3" t="str">
        <f t="shared" si="3"/>
        <v xml:space="preserve"> </v>
      </c>
    </row>
    <row r="37" spans="1:10" x14ac:dyDescent="0.25">
      <c r="A37" t="s">
        <v>48</v>
      </c>
      <c r="B37" t="s">
        <v>167</v>
      </c>
      <c r="C37">
        <v>19</v>
      </c>
      <c r="D37" s="5">
        <v>7</v>
      </c>
      <c r="E37">
        <v>1</v>
      </c>
      <c r="F37">
        <f t="shared" si="2"/>
        <v>20</v>
      </c>
      <c r="G37">
        <f t="shared" ref="G37:G69" si="4">(D37+F37)*E37</f>
        <v>27</v>
      </c>
      <c r="I37" s="3" t="str">
        <f t="shared" si="3"/>
        <v xml:space="preserve"> * </v>
      </c>
      <c r="J37" s="4" t="s">
        <v>123</v>
      </c>
    </row>
    <row r="38" spans="1:10" x14ac:dyDescent="0.25">
      <c r="A38" t="s">
        <v>49</v>
      </c>
      <c r="B38" t="s">
        <v>154</v>
      </c>
      <c r="C38">
        <v>10</v>
      </c>
      <c r="D38" s="5">
        <v>7</v>
      </c>
      <c r="E38">
        <v>1</v>
      </c>
      <c r="F38">
        <f t="shared" si="2"/>
        <v>14</v>
      </c>
      <c r="G38">
        <f t="shared" si="4"/>
        <v>21</v>
      </c>
      <c r="I38" s="3" t="str">
        <f t="shared" si="3"/>
        <v xml:space="preserve"> * </v>
      </c>
      <c r="J38" s="4" t="s">
        <v>119</v>
      </c>
    </row>
    <row r="39" spans="1:10" x14ac:dyDescent="0.25">
      <c r="A39" t="s">
        <v>50</v>
      </c>
      <c r="B39" t="s">
        <v>155</v>
      </c>
      <c r="C39">
        <v>10</v>
      </c>
      <c r="D39" s="5">
        <v>7</v>
      </c>
      <c r="E39">
        <v>1</v>
      </c>
      <c r="F39">
        <f t="shared" si="2"/>
        <v>20</v>
      </c>
      <c r="G39">
        <f t="shared" si="4"/>
        <v>27</v>
      </c>
      <c r="I39" s="3" t="str">
        <f t="shared" si="3"/>
        <v xml:space="preserve"> * </v>
      </c>
      <c r="J39" s="4" t="s">
        <v>119</v>
      </c>
    </row>
    <row r="40" spans="1:10" x14ac:dyDescent="0.25">
      <c r="A40" t="s">
        <v>30</v>
      </c>
      <c r="B40" t="s">
        <v>51</v>
      </c>
      <c r="C40">
        <v>0</v>
      </c>
      <c r="D40">
        <v>0</v>
      </c>
      <c r="E40">
        <v>1</v>
      </c>
      <c r="F40">
        <f t="shared" si="2"/>
        <v>14</v>
      </c>
      <c r="G40">
        <f t="shared" si="4"/>
        <v>14</v>
      </c>
      <c r="I40" s="3" t="str">
        <f t="shared" si="3"/>
        <v xml:space="preserve"> </v>
      </c>
    </row>
    <row r="41" spans="1:10" x14ac:dyDescent="0.25">
      <c r="A41" t="s">
        <v>52</v>
      </c>
      <c r="B41" t="s">
        <v>165</v>
      </c>
      <c r="C41">
        <v>10</v>
      </c>
      <c r="D41" s="5">
        <v>3</v>
      </c>
      <c r="E41">
        <v>1</v>
      </c>
      <c r="F41">
        <f t="shared" si="2"/>
        <v>7</v>
      </c>
      <c r="G41">
        <f t="shared" si="4"/>
        <v>10</v>
      </c>
      <c r="I41" s="3" t="str">
        <f t="shared" si="3"/>
        <v xml:space="preserve"> * </v>
      </c>
      <c r="J41" s="4" t="s">
        <v>120</v>
      </c>
    </row>
    <row r="42" spans="1:10" x14ac:dyDescent="0.25">
      <c r="A42" t="s">
        <v>53</v>
      </c>
      <c r="B42" t="s">
        <v>166</v>
      </c>
      <c r="C42">
        <v>10</v>
      </c>
      <c r="D42" s="5">
        <v>3</v>
      </c>
      <c r="E42">
        <v>1</v>
      </c>
      <c r="F42">
        <f t="shared" si="2"/>
        <v>6</v>
      </c>
      <c r="G42">
        <f t="shared" si="4"/>
        <v>9</v>
      </c>
      <c r="I42" s="3" t="str">
        <f t="shared" si="3"/>
        <v xml:space="preserve"> * </v>
      </c>
      <c r="J42" s="4" t="s">
        <v>120</v>
      </c>
    </row>
    <row r="43" spans="1:10" x14ac:dyDescent="0.25">
      <c r="A43" t="s">
        <v>54</v>
      </c>
      <c r="B43" t="s">
        <v>22</v>
      </c>
      <c r="C43">
        <v>0</v>
      </c>
      <c r="D43">
        <v>0</v>
      </c>
      <c r="E43">
        <v>1</v>
      </c>
      <c r="F43">
        <f t="shared" si="2"/>
        <v>2</v>
      </c>
      <c r="G43">
        <f t="shared" si="4"/>
        <v>2</v>
      </c>
      <c r="I43" s="3" t="str">
        <f t="shared" si="3"/>
        <v xml:space="preserve"> </v>
      </c>
    </row>
    <row r="44" spans="1:10" x14ac:dyDescent="0.25">
      <c r="A44" t="s">
        <v>55</v>
      </c>
      <c r="B44" t="s">
        <v>56</v>
      </c>
      <c r="C44">
        <v>0</v>
      </c>
      <c r="D44">
        <v>0</v>
      </c>
      <c r="E44">
        <v>1</v>
      </c>
      <c r="F44">
        <f t="shared" si="2"/>
        <v>7</v>
      </c>
      <c r="G44">
        <f t="shared" si="4"/>
        <v>7</v>
      </c>
      <c r="I44" s="3" t="str">
        <f t="shared" si="3"/>
        <v xml:space="preserve"> </v>
      </c>
    </row>
    <row r="45" spans="1:10" x14ac:dyDescent="0.25">
      <c r="A45" t="s">
        <v>57</v>
      </c>
      <c r="B45" t="s">
        <v>58</v>
      </c>
      <c r="C45">
        <v>0</v>
      </c>
      <c r="D45">
        <v>0</v>
      </c>
      <c r="E45">
        <v>1</v>
      </c>
      <c r="F45">
        <f t="shared" si="2"/>
        <v>12</v>
      </c>
      <c r="G45">
        <f t="shared" si="4"/>
        <v>12</v>
      </c>
      <c r="I45" s="3" t="str">
        <f t="shared" si="3"/>
        <v xml:space="preserve"> </v>
      </c>
    </row>
    <row r="46" spans="1:10" x14ac:dyDescent="0.25">
      <c r="A46" t="s">
        <v>59</v>
      </c>
      <c r="B46" t="s">
        <v>156</v>
      </c>
      <c r="C46">
        <v>10</v>
      </c>
      <c r="D46">
        <v>10</v>
      </c>
      <c r="E46">
        <v>1</v>
      </c>
      <c r="F46">
        <f t="shared" si="2"/>
        <v>9</v>
      </c>
      <c r="G46">
        <f t="shared" si="4"/>
        <v>19</v>
      </c>
      <c r="I46" s="3" t="str">
        <f t="shared" si="3"/>
        <v xml:space="preserve"> </v>
      </c>
      <c r="J46" s="4" t="s">
        <v>121</v>
      </c>
    </row>
    <row r="47" spans="1:10" x14ac:dyDescent="0.25">
      <c r="A47" t="s">
        <v>60</v>
      </c>
      <c r="B47" t="s">
        <v>157</v>
      </c>
      <c r="C47">
        <v>10</v>
      </c>
      <c r="D47">
        <v>10</v>
      </c>
      <c r="E47">
        <v>1</v>
      </c>
      <c r="F47">
        <f t="shared" si="2"/>
        <v>11</v>
      </c>
      <c r="G47">
        <f t="shared" si="4"/>
        <v>21</v>
      </c>
      <c r="I47" s="3" t="str">
        <f t="shared" si="3"/>
        <v xml:space="preserve"> </v>
      </c>
      <c r="J47" s="4" t="s">
        <v>121</v>
      </c>
    </row>
    <row r="48" spans="1:10" x14ac:dyDescent="0.25">
      <c r="A48" t="s">
        <v>170</v>
      </c>
      <c r="B48" t="s">
        <v>169</v>
      </c>
      <c r="C48">
        <v>5</v>
      </c>
      <c r="D48" s="5">
        <v>5</v>
      </c>
      <c r="E48">
        <v>1</v>
      </c>
      <c r="F48">
        <f t="shared" si="2"/>
        <v>17</v>
      </c>
      <c r="G48">
        <f>(D48+F48)*E48</f>
        <v>22</v>
      </c>
      <c r="I48" s="3" t="str">
        <f t="shared" si="3"/>
        <v xml:space="preserve"> </v>
      </c>
      <c r="J48" s="4"/>
    </row>
    <row r="49" spans="1:10" x14ac:dyDescent="0.25">
      <c r="A49" t="s">
        <v>61</v>
      </c>
      <c r="B49" t="s">
        <v>158</v>
      </c>
      <c r="C49">
        <v>10</v>
      </c>
      <c r="D49">
        <v>10</v>
      </c>
      <c r="E49">
        <v>1</v>
      </c>
      <c r="F49">
        <f t="shared" si="2"/>
        <v>21</v>
      </c>
      <c r="G49">
        <f>(D49+F49)*E49</f>
        <v>31</v>
      </c>
      <c r="I49" s="3" t="str">
        <f t="shared" si="3"/>
        <v xml:space="preserve"> </v>
      </c>
      <c r="J49" s="4" t="s">
        <v>121</v>
      </c>
    </row>
    <row r="50" spans="1:10" x14ac:dyDescent="0.25">
      <c r="A50" t="s">
        <v>62</v>
      </c>
      <c r="B50" t="s">
        <v>159</v>
      </c>
      <c r="C50">
        <v>10</v>
      </c>
      <c r="D50" s="5">
        <v>5</v>
      </c>
      <c r="E50">
        <v>1</v>
      </c>
      <c r="F50">
        <f t="shared" si="2"/>
        <v>17</v>
      </c>
      <c r="G50">
        <f t="shared" si="4"/>
        <v>22</v>
      </c>
      <c r="I50" s="3" t="str">
        <f t="shared" si="3"/>
        <v xml:space="preserve"> * </v>
      </c>
      <c r="J50" s="4" t="s">
        <v>122</v>
      </c>
    </row>
    <row r="51" spans="1:10" x14ac:dyDescent="0.25">
      <c r="A51" t="s">
        <v>63</v>
      </c>
      <c r="B51" t="s">
        <v>22</v>
      </c>
      <c r="C51">
        <v>0</v>
      </c>
      <c r="D51">
        <v>0</v>
      </c>
      <c r="E51">
        <v>1</v>
      </c>
      <c r="F51">
        <f t="shared" si="2"/>
        <v>2</v>
      </c>
      <c r="G51">
        <f t="shared" si="4"/>
        <v>2</v>
      </c>
      <c r="I51" s="3" t="str">
        <f t="shared" si="3"/>
        <v xml:space="preserve"> </v>
      </c>
    </row>
    <row r="52" spans="1:10" x14ac:dyDescent="0.25">
      <c r="A52" t="s">
        <v>64</v>
      </c>
      <c r="B52" t="s">
        <v>65</v>
      </c>
      <c r="C52">
        <v>0</v>
      </c>
      <c r="D52">
        <v>0</v>
      </c>
      <c r="E52">
        <v>1</v>
      </c>
      <c r="F52">
        <f t="shared" si="2"/>
        <v>13</v>
      </c>
      <c r="G52">
        <f t="shared" si="4"/>
        <v>13</v>
      </c>
      <c r="I52" s="3" t="str">
        <f t="shared" si="3"/>
        <v xml:space="preserve"> </v>
      </c>
    </row>
    <row r="53" spans="1:10" x14ac:dyDescent="0.25">
      <c r="A53" t="s">
        <v>66</v>
      </c>
      <c r="B53" t="s">
        <v>160</v>
      </c>
      <c r="C53">
        <v>10</v>
      </c>
      <c r="D53">
        <v>10</v>
      </c>
      <c r="E53">
        <v>1</v>
      </c>
      <c r="F53">
        <f t="shared" si="2"/>
        <v>32</v>
      </c>
      <c r="G53">
        <f t="shared" si="4"/>
        <v>42</v>
      </c>
      <c r="I53" s="3" t="str">
        <f t="shared" si="3"/>
        <v xml:space="preserve"> </v>
      </c>
    </row>
    <row r="54" spans="1:10" x14ac:dyDescent="0.25">
      <c r="A54" t="s">
        <v>67</v>
      </c>
      <c r="B54" t="s">
        <v>161</v>
      </c>
      <c r="C54">
        <v>10</v>
      </c>
      <c r="D54">
        <v>10</v>
      </c>
      <c r="E54">
        <v>1</v>
      </c>
      <c r="F54">
        <f t="shared" si="2"/>
        <v>23</v>
      </c>
      <c r="G54">
        <f t="shared" si="4"/>
        <v>33</v>
      </c>
      <c r="I54" s="3" t="str">
        <f t="shared" si="3"/>
        <v xml:space="preserve"> </v>
      </c>
    </row>
    <row r="55" spans="1:10" x14ac:dyDescent="0.25">
      <c r="A55" t="s">
        <v>68</v>
      </c>
      <c r="B55" t="s">
        <v>162</v>
      </c>
      <c r="C55">
        <v>10</v>
      </c>
      <c r="D55">
        <v>10</v>
      </c>
      <c r="E55">
        <v>1</v>
      </c>
      <c r="F55">
        <f t="shared" si="2"/>
        <v>20</v>
      </c>
      <c r="G55">
        <f t="shared" si="4"/>
        <v>30</v>
      </c>
      <c r="I55" s="3" t="str">
        <f t="shared" si="3"/>
        <v xml:space="preserve"> </v>
      </c>
    </row>
    <row r="56" spans="1:10" x14ac:dyDescent="0.25">
      <c r="A56" t="s">
        <v>69</v>
      </c>
      <c r="B56" t="s">
        <v>70</v>
      </c>
      <c r="C56">
        <v>0</v>
      </c>
      <c r="D56">
        <v>0</v>
      </c>
      <c r="E56">
        <v>1</v>
      </c>
      <c r="F56">
        <f t="shared" si="2"/>
        <v>1</v>
      </c>
      <c r="G56">
        <f t="shared" si="4"/>
        <v>1</v>
      </c>
      <c r="I56" s="3" t="str">
        <f t="shared" si="3"/>
        <v xml:space="preserve"> </v>
      </c>
    </row>
    <row r="57" spans="1:10" x14ac:dyDescent="0.25">
      <c r="A57" t="s">
        <v>71</v>
      </c>
      <c r="B57" t="s">
        <v>22</v>
      </c>
      <c r="C57">
        <v>0</v>
      </c>
      <c r="D57">
        <v>0</v>
      </c>
      <c r="E57">
        <v>1</v>
      </c>
      <c r="F57">
        <f t="shared" si="2"/>
        <v>2</v>
      </c>
      <c r="G57">
        <f t="shared" si="4"/>
        <v>2</v>
      </c>
      <c r="I57" s="3" t="str">
        <f t="shared" si="3"/>
        <v xml:space="preserve"> </v>
      </c>
    </row>
    <row r="58" spans="1:10" x14ac:dyDescent="0.25">
      <c r="A58" t="s">
        <v>72</v>
      </c>
      <c r="B58" t="s">
        <v>73</v>
      </c>
      <c r="C58">
        <v>0</v>
      </c>
      <c r="D58">
        <v>0</v>
      </c>
      <c r="E58">
        <v>1</v>
      </c>
      <c r="F58">
        <f t="shared" si="2"/>
        <v>11</v>
      </c>
      <c r="G58">
        <f t="shared" si="4"/>
        <v>11</v>
      </c>
      <c r="I58" s="3" t="str">
        <f t="shared" si="3"/>
        <v xml:space="preserve"> </v>
      </c>
    </row>
    <row r="59" spans="1:10" x14ac:dyDescent="0.25">
      <c r="A59" t="s">
        <v>74</v>
      </c>
      <c r="B59" t="s">
        <v>163</v>
      </c>
      <c r="C59">
        <v>49</v>
      </c>
      <c r="D59">
        <v>49</v>
      </c>
      <c r="E59" s="7">
        <f>B2</f>
        <v>500</v>
      </c>
      <c r="F59">
        <f t="shared" si="2"/>
        <v>26</v>
      </c>
      <c r="G59">
        <f>(D59+F59)*E59</f>
        <v>37500</v>
      </c>
      <c r="I59" s="3" t="str">
        <f t="shared" si="3"/>
        <v xml:space="preserve"> </v>
      </c>
      <c r="J59" t="s">
        <v>124</v>
      </c>
    </row>
    <row r="60" spans="1:10" x14ac:dyDescent="0.25">
      <c r="A60" t="s">
        <v>75</v>
      </c>
      <c r="B60" t="s">
        <v>32</v>
      </c>
      <c r="C60">
        <v>0</v>
      </c>
      <c r="D60">
        <v>0</v>
      </c>
      <c r="E60">
        <f>E59-1</f>
        <v>499</v>
      </c>
      <c r="F60">
        <f t="shared" si="2"/>
        <v>1</v>
      </c>
      <c r="G60">
        <f t="shared" si="4"/>
        <v>499</v>
      </c>
      <c r="I60" s="3" t="str">
        <f t="shared" si="3"/>
        <v xml:space="preserve"> </v>
      </c>
    </row>
    <row r="61" spans="1:10" x14ac:dyDescent="0.25">
      <c r="A61" t="s">
        <v>76</v>
      </c>
      <c r="B61" t="s">
        <v>77</v>
      </c>
      <c r="C61">
        <v>0</v>
      </c>
      <c r="D61">
        <v>0</v>
      </c>
      <c r="E61">
        <v>1</v>
      </c>
      <c r="F61">
        <f t="shared" si="2"/>
        <v>2</v>
      </c>
      <c r="G61">
        <f t="shared" si="4"/>
        <v>2</v>
      </c>
      <c r="I61" s="3" t="str">
        <f t="shared" si="3"/>
        <v xml:space="preserve"> </v>
      </c>
    </row>
    <row r="62" spans="1:10" x14ac:dyDescent="0.25">
      <c r="A62" t="s">
        <v>78</v>
      </c>
      <c r="B62" t="s">
        <v>144</v>
      </c>
      <c r="C62">
        <v>5</v>
      </c>
      <c r="D62">
        <v>5</v>
      </c>
      <c r="E62">
        <v>1</v>
      </c>
      <c r="F62">
        <f t="shared" si="2"/>
        <v>20</v>
      </c>
      <c r="G62">
        <f t="shared" si="4"/>
        <v>25</v>
      </c>
      <c r="I62" s="3" t="str">
        <f t="shared" si="3"/>
        <v xml:space="preserve"> </v>
      </c>
    </row>
    <row r="63" spans="1:10" x14ac:dyDescent="0.25">
      <c r="A63" t="s">
        <v>79</v>
      </c>
      <c r="B63" t="s">
        <v>22</v>
      </c>
      <c r="C63">
        <v>0</v>
      </c>
      <c r="D63">
        <v>0</v>
      </c>
      <c r="E63">
        <v>1</v>
      </c>
      <c r="F63">
        <f t="shared" si="2"/>
        <v>2</v>
      </c>
      <c r="G63">
        <f t="shared" si="4"/>
        <v>2</v>
      </c>
      <c r="I63" s="3" t="str">
        <f t="shared" si="3"/>
        <v xml:space="preserve"> </v>
      </c>
    </row>
    <row r="64" spans="1:10" x14ac:dyDescent="0.25">
      <c r="A64" t="s">
        <v>80</v>
      </c>
      <c r="B64" t="s">
        <v>81</v>
      </c>
      <c r="C64">
        <v>0</v>
      </c>
      <c r="D64">
        <v>0</v>
      </c>
      <c r="E64">
        <v>1</v>
      </c>
      <c r="F64">
        <f t="shared" si="2"/>
        <v>14</v>
      </c>
      <c r="G64">
        <f t="shared" si="4"/>
        <v>14</v>
      </c>
      <c r="I64" s="3" t="str">
        <f t="shared" si="3"/>
        <v xml:space="preserve"> </v>
      </c>
    </row>
    <row r="65" spans="1:9" x14ac:dyDescent="0.25">
      <c r="A65" t="s">
        <v>82</v>
      </c>
      <c r="B65" t="s">
        <v>83</v>
      </c>
      <c r="C65">
        <v>0</v>
      </c>
      <c r="D65">
        <v>0</v>
      </c>
      <c r="E65">
        <v>1</v>
      </c>
      <c r="F65">
        <f t="shared" si="2"/>
        <v>22</v>
      </c>
      <c r="G65">
        <f t="shared" si="4"/>
        <v>22</v>
      </c>
      <c r="I65" s="3" t="str">
        <f t="shared" si="3"/>
        <v xml:space="preserve"> </v>
      </c>
    </row>
    <row r="66" spans="1:9" x14ac:dyDescent="0.25">
      <c r="A66" t="s">
        <v>66</v>
      </c>
      <c r="B66" t="s">
        <v>145</v>
      </c>
      <c r="C66">
        <v>24</v>
      </c>
      <c r="D66">
        <v>24</v>
      </c>
      <c r="E66">
        <v>1</v>
      </c>
      <c r="F66">
        <f t="shared" si="2"/>
        <v>34</v>
      </c>
      <c r="G66">
        <f t="shared" si="4"/>
        <v>58</v>
      </c>
      <c r="I66" s="3" t="str">
        <f t="shared" si="3"/>
        <v xml:space="preserve"> </v>
      </c>
    </row>
    <row r="67" spans="1:9" x14ac:dyDescent="0.25">
      <c r="A67" t="s">
        <v>67</v>
      </c>
      <c r="B67" t="s">
        <v>146</v>
      </c>
      <c r="C67">
        <v>24</v>
      </c>
      <c r="D67">
        <v>24</v>
      </c>
      <c r="E67">
        <v>1</v>
      </c>
      <c r="F67">
        <f t="shared" si="2"/>
        <v>25</v>
      </c>
      <c r="G67">
        <f t="shared" si="4"/>
        <v>49</v>
      </c>
      <c r="I67" s="3" t="str">
        <f t="shared" si="3"/>
        <v xml:space="preserve"> </v>
      </c>
    </row>
    <row r="68" spans="1:9" x14ac:dyDescent="0.25">
      <c r="A68" t="s">
        <v>68</v>
      </c>
      <c r="B68" t="s">
        <v>147</v>
      </c>
      <c r="C68">
        <v>24</v>
      </c>
      <c r="D68">
        <v>24</v>
      </c>
      <c r="E68">
        <v>1</v>
      </c>
      <c r="F68">
        <f t="shared" si="2"/>
        <v>22</v>
      </c>
      <c r="G68">
        <f t="shared" si="4"/>
        <v>46</v>
      </c>
      <c r="I68" s="3" t="str">
        <f t="shared" si="3"/>
        <v xml:space="preserve"> </v>
      </c>
    </row>
    <row r="69" spans="1:9" x14ac:dyDescent="0.25">
      <c r="A69" t="s">
        <v>84</v>
      </c>
      <c r="B69" t="s">
        <v>70</v>
      </c>
      <c r="C69">
        <v>0</v>
      </c>
      <c r="D69">
        <v>0</v>
      </c>
      <c r="E69">
        <v>1</v>
      </c>
      <c r="F69">
        <f t="shared" si="2"/>
        <v>1</v>
      </c>
      <c r="G69">
        <f t="shared" si="4"/>
        <v>1</v>
      </c>
      <c r="I69" s="3" t="str">
        <f t="shared" si="3"/>
        <v xml:space="preserve"> </v>
      </c>
    </row>
    <row r="70" spans="1:9" x14ac:dyDescent="0.25">
      <c r="A70" t="s">
        <v>85</v>
      </c>
      <c r="B70" t="s">
        <v>70</v>
      </c>
      <c r="C70">
        <v>0</v>
      </c>
      <c r="D70">
        <v>0</v>
      </c>
      <c r="E70">
        <v>1</v>
      </c>
      <c r="F70">
        <f t="shared" si="2"/>
        <v>1</v>
      </c>
      <c r="G70">
        <f t="shared" ref="G70:G91" si="5">(D70+F70)*E70</f>
        <v>1</v>
      </c>
      <c r="I70" s="3" t="str">
        <f t="shared" si="3"/>
        <v xml:space="preserve"> </v>
      </c>
    </row>
    <row r="71" spans="1:9" x14ac:dyDescent="0.25">
      <c r="A71" t="s">
        <v>86</v>
      </c>
      <c r="B71" t="s">
        <v>70</v>
      </c>
      <c r="C71">
        <v>0</v>
      </c>
      <c r="D71">
        <v>0</v>
      </c>
      <c r="E71">
        <v>1</v>
      </c>
      <c r="F71">
        <f t="shared" si="2"/>
        <v>1</v>
      </c>
      <c r="G71">
        <f t="shared" si="5"/>
        <v>1</v>
      </c>
      <c r="I71" s="3" t="str">
        <f t="shared" si="3"/>
        <v xml:space="preserve"> </v>
      </c>
    </row>
    <row r="72" spans="1:9" x14ac:dyDescent="0.25">
      <c r="A72" t="s">
        <v>87</v>
      </c>
      <c r="B72" t="s">
        <v>88</v>
      </c>
      <c r="C72">
        <v>0</v>
      </c>
      <c r="D72">
        <v>0</v>
      </c>
      <c r="E72">
        <v>1</v>
      </c>
      <c r="F72">
        <v>1</v>
      </c>
      <c r="G72">
        <f t="shared" si="5"/>
        <v>1</v>
      </c>
      <c r="I72" s="3" t="str">
        <f t="shared" si="3"/>
        <v xml:space="preserve"> </v>
      </c>
    </row>
    <row r="73" spans="1:9" x14ac:dyDescent="0.25">
      <c r="A73" t="s">
        <v>89</v>
      </c>
      <c r="C73">
        <v>0</v>
      </c>
      <c r="D73">
        <v>0</v>
      </c>
      <c r="E73">
        <v>0</v>
      </c>
      <c r="F73">
        <v>0</v>
      </c>
      <c r="G73">
        <f t="shared" si="5"/>
        <v>0</v>
      </c>
      <c r="I73" s="3" t="str">
        <f t="shared" si="3"/>
        <v xml:space="preserve"> </v>
      </c>
    </row>
    <row r="74" spans="1:9" x14ac:dyDescent="0.25">
      <c r="A74" t="s">
        <v>90</v>
      </c>
      <c r="C74">
        <v>0</v>
      </c>
      <c r="D74">
        <v>0</v>
      </c>
      <c r="E74">
        <v>0</v>
      </c>
      <c r="F74">
        <v>0</v>
      </c>
      <c r="G74">
        <f t="shared" si="5"/>
        <v>0</v>
      </c>
      <c r="I74" s="3" t="str">
        <f t="shared" si="3"/>
        <v xml:space="preserve"> </v>
      </c>
    </row>
    <row r="75" spans="1:9" x14ac:dyDescent="0.25">
      <c r="A75" t="s">
        <v>91</v>
      </c>
      <c r="C75">
        <v>0</v>
      </c>
      <c r="D75">
        <v>0</v>
      </c>
      <c r="E75">
        <v>0</v>
      </c>
      <c r="F75">
        <v>0</v>
      </c>
      <c r="G75">
        <f t="shared" si="5"/>
        <v>0</v>
      </c>
      <c r="I75" s="3" t="str">
        <f t="shared" si="3"/>
        <v xml:space="preserve"> </v>
      </c>
    </row>
    <row r="76" spans="1:9" x14ac:dyDescent="0.25">
      <c r="A76" t="s">
        <v>92</v>
      </c>
      <c r="C76">
        <v>0</v>
      </c>
      <c r="D76">
        <v>0</v>
      </c>
      <c r="E76">
        <v>0</v>
      </c>
      <c r="F76">
        <v>0</v>
      </c>
      <c r="G76">
        <f t="shared" si="5"/>
        <v>0</v>
      </c>
      <c r="I76" s="3" t="str">
        <f t="shared" si="3"/>
        <v xml:space="preserve"> </v>
      </c>
    </row>
    <row r="77" spans="1:9" x14ac:dyDescent="0.25">
      <c r="A77" t="s">
        <v>93</v>
      </c>
      <c r="C77">
        <v>0</v>
      </c>
      <c r="D77">
        <v>0</v>
      </c>
      <c r="E77">
        <v>0</v>
      </c>
      <c r="F77">
        <v>0</v>
      </c>
      <c r="G77">
        <f t="shared" si="5"/>
        <v>0</v>
      </c>
      <c r="I77" s="3" t="str">
        <f t="shared" si="3"/>
        <v xml:space="preserve"> </v>
      </c>
    </row>
    <row r="78" spans="1:9" x14ac:dyDescent="0.25">
      <c r="A78" t="s">
        <v>94</v>
      </c>
      <c r="C78">
        <v>0</v>
      </c>
      <c r="D78">
        <v>0</v>
      </c>
      <c r="E78">
        <v>0</v>
      </c>
      <c r="F78">
        <v>0</v>
      </c>
      <c r="G78">
        <f t="shared" si="5"/>
        <v>0</v>
      </c>
      <c r="I78" s="3" t="str">
        <f t="shared" si="3"/>
        <v xml:space="preserve"> </v>
      </c>
    </row>
    <row r="79" spans="1:9" x14ac:dyDescent="0.25">
      <c r="A79" t="s">
        <v>95</v>
      </c>
      <c r="C79">
        <v>0</v>
      </c>
      <c r="D79">
        <v>0</v>
      </c>
      <c r="E79">
        <v>0</v>
      </c>
      <c r="F79">
        <v>0</v>
      </c>
      <c r="G79">
        <f t="shared" si="5"/>
        <v>0</v>
      </c>
      <c r="I79" s="3" t="str">
        <f t="shared" si="3"/>
        <v xml:space="preserve"> </v>
      </c>
    </row>
    <row r="80" spans="1:9" x14ac:dyDescent="0.25">
      <c r="A80" t="s">
        <v>96</v>
      </c>
      <c r="C80">
        <v>0</v>
      </c>
      <c r="D80">
        <v>0</v>
      </c>
      <c r="E80">
        <v>0</v>
      </c>
      <c r="F80">
        <v>0</v>
      </c>
      <c r="G80">
        <f t="shared" si="5"/>
        <v>0</v>
      </c>
      <c r="I80" s="3" t="str">
        <f t="shared" si="3"/>
        <v xml:space="preserve"> </v>
      </c>
    </row>
    <row r="81" spans="1:9" x14ac:dyDescent="0.25">
      <c r="A81" t="s">
        <v>97</v>
      </c>
      <c r="C81">
        <v>0</v>
      </c>
      <c r="D81">
        <v>0</v>
      </c>
      <c r="E81">
        <v>0</v>
      </c>
      <c r="F81">
        <v>0</v>
      </c>
      <c r="G81">
        <f t="shared" si="5"/>
        <v>0</v>
      </c>
      <c r="I81" s="3" t="str">
        <f t="shared" si="3"/>
        <v xml:space="preserve"> </v>
      </c>
    </row>
    <row r="82" spans="1:9" x14ac:dyDescent="0.25">
      <c r="A82" t="s">
        <v>98</v>
      </c>
      <c r="C82">
        <v>0</v>
      </c>
      <c r="D82">
        <v>0</v>
      </c>
      <c r="E82">
        <v>0</v>
      </c>
      <c r="F82">
        <v>0</v>
      </c>
      <c r="G82">
        <f t="shared" si="5"/>
        <v>0</v>
      </c>
      <c r="I82" s="3" t="str">
        <f t="shared" si="3"/>
        <v xml:space="preserve"> </v>
      </c>
    </row>
    <row r="83" spans="1:9" x14ac:dyDescent="0.25">
      <c r="A83" t="s">
        <v>99</v>
      </c>
      <c r="C83">
        <v>0</v>
      </c>
      <c r="D83">
        <v>0</v>
      </c>
      <c r="E83">
        <v>0</v>
      </c>
      <c r="F83">
        <v>0</v>
      </c>
      <c r="G83">
        <f t="shared" si="5"/>
        <v>0</v>
      </c>
      <c r="I83" s="3" t="str">
        <f t="shared" si="3"/>
        <v xml:space="preserve"> </v>
      </c>
    </row>
    <row r="84" spans="1:9" x14ac:dyDescent="0.25">
      <c r="A84" t="s">
        <v>100</v>
      </c>
      <c r="C84">
        <v>0</v>
      </c>
      <c r="D84">
        <v>0</v>
      </c>
      <c r="E84">
        <v>0</v>
      </c>
      <c r="F84">
        <v>0</v>
      </c>
      <c r="G84">
        <f t="shared" si="5"/>
        <v>0</v>
      </c>
      <c r="I84" s="3" t="str">
        <f t="shared" si="3"/>
        <v xml:space="preserve"> </v>
      </c>
    </row>
    <row r="85" spans="1:9" x14ac:dyDescent="0.25">
      <c r="A85" t="s">
        <v>101</v>
      </c>
      <c r="C85">
        <v>0</v>
      </c>
      <c r="D85">
        <v>0</v>
      </c>
      <c r="E85">
        <v>0</v>
      </c>
      <c r="F85">
        <v>0</v>
      </c>
      <c r="G85">
        <f t="shared" si="5"/>
        <v>0</v>
      </c>
      <c r="I85" s="3" t="str">
        <f t="shared" si="3"/>
        <v xml:space="preserve"> </v>
      </c>
    </row>
    <row r="86" spans="1:9" x14ac:dyDescent="0.25">
      <c r="A86" t="s">
        <v>102</v>
      </c>
      <c r="C86">
        <v>0</v>
      </c>
      <c r="D86">
        <v>0</v>
      </c>
      <c r="E86">
        <v>0</v>
      </c>
      <c r="F86">
        <v>0</v>
      </c>
      <c r="G86">
        <f t="shared" si="5"/>
        <v>0</v>
      </c>
      <c r="I86" s="3" t="str">
        <f t="shared" si="3"/>
        <v xml:space="preserve"> </v>
      </c>
    </row>
    <row r="87" spans="1:9" x14ac:dyDescent="0.25">
      <c r="A87" t="s">
        <v>103</v>
      </c>
      <c r="C87">
        <v>0</v>
      </c>
      <c r="D87">
        <v>0</v>
      </c>
      <c r="E87">
        <v>0</v>
      </c>
      <c r="F87">
        <v>0</v>
      </c>
      <c r="G87">
        <f t="shared" si="5"/>
        <v>0</v>
      </c>
      <c r="I87" s="3" t="str">
        <f t="shared" si="3"/>
        <v xml:space="preserve"> </v>
      </c>
    </row>
    <row r="88" spans="1:9" x14ac:dyDescent="0.25">
      <c r="A88" t="s">
        <v>104</v>
      </c>
      <c r="C88">
        <v>0</v>
      </c>
      <c r="D88">
        <v>0</v>
      </c>
      <c r="E88">
        <v>0</v>
      </c>
      <c r="F88">
        <v>0</v>
      </c>
      <c r="G88">
        <f t="shared" si="5"/>
        <v>0</v>
      </c>
      <c r="I88" s="3" t="str">
        <f t="shared" si="3"/>
        <v xml:space="preserve"> </v>
      </c>
    </row>
    <row r="89" spans="1:9" x14ac:dyDescent="0.25">
      <c r="A89" t="s">
        <v>105</v>
      </c>
      <c r="C89">
        <v>0</v>
      </c>
      <c r="D89">
        <v>0</v>
      </c>
      <c r="E89">
        <v>0</v>
      </c>
      <c r="F89">
        <v>0</v>
      </c>
      <c r="G89">
        <f t="shared" si="5"/>
        <v>0</v>
      </c>
      <c r="I89" s="3" t="str">
        <f t="shared" si="3"/>
        <v xml:space="preserve"> </v>
      </c>
    </row>
    <row r="90" spans="1:9" x14ac:dyDescent="0.25">
      <c r="A90" t="s">
        <v>106</v>
      </c>
      <c r="C90">
        <v>0</v>
      </c>
      <c r="D90">
        <v>0</v>
      </c>
      <c r="E90">
        <v>0</v>
      </c>
      <c r="F90">
        <v>0</v>
      </c>
      <c r="G90">
        <f t="shared" si="5"/>
        <v>0</v>
      </c>
      <c r="I90" s="3" t="str">
        <f t="shared" ref="I90:I91" si="6">IF(C90-D90&gt;0," * ", " ")</f>
        <v xml:space="preserve"> </v>
      </c>
    </row>
    <row r="91" spans="1:9" x14ac:dyDescent="0.25">
      <c r="A91" t="s">
        <v>107</v>
      </c>
      <c r="C91">
        <v>0</v>
      </c>
      <c r="D91">
        <v>0</v>
      </c>
      <c r="E91">
        <v>0</v>
      </c>
      <c r="F91">
        <v>0</v>
      </c>
      <c r="G91">
        <f t="shared" si="5"/>
        <v>0</v>
      </c>
      <c r="I91" s="3" t="str">
        <f t="shared" si="6"/>
        <v xml:space="preserve"> </v>
      </c>
    </row>
    <row r="92" spans="1:9" x14ac:dyDescent="0.25">
      <c r="C92" s="9">
        <f>SUM(C5:C91)</f>
        <v>434</v>
      </c>
      <c r="D92" s="9">
        <f>SUM(D5:D91)</f>
        <v>343</v>
      </c>
      <c r="F92" s="9">
        <f>SUM(F5:F91)</f>
        <v>900</v>
      </c>
    </row>
    <row r="94" spans="1:9" x14ac:dyDescent="0.25">
      <c r="A94" s="6" t="s">
        <v>108</v>
      </c>
      <c r="B94" s="6" t="s">
        <v>126</v>
      </c>
      <c r="C94" s="6"/>
      <c r="D94" s="6"/>
      <c r="E94" s="6"/>
      <c r="F94" s="6"/>
      <c r="G94" s="6">
        <f>SUM(G5:G91)</f>
        <v>39166</v>
      </c>
    </row>
    <row r="95" spans="1:9" x14ac:dyDescent="0.25">
      <c r="A95" s="6"/>
      <c r="B95" s="6"/>
      <c r="C95" s="6"/>
      <c r="D95" s="6"/>
      <c r="E95" s="6"/>
      <c r="F95" s="6"/>
      <c r="G95" s="6"/>
    </row>
    <row r="96" spans="1:9" x14ac:dyDescent="0.25">
      <c r="A96" t="s">
        <v>127</v>
      </c>
      <c r="B96" t="s">
        <v>125</v>
      </c>
    </row>
    <row r="98" spans="1:1" x14ac:dyDescent="0.25">
      <c r="A98" s="8" t="s">
        <v>168</v>
      </c>
    </row>
  </sheetData>
  <hyperlinks>
    <hyperlink ref="A98" r:id="rId1" xr:uid="{0D1331D3-50DC-4059-A4A6-41FF47294D36}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JSON Size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 Latour</cp:lastModifiedBy>
  <dcterms:created xsi:type="dcterms:W3CDTF">2026-09-15T12:39:03Z</dcterms:created>
  <dcterms:modified xsi:type="dcterms:W3CDTF">2026-10-06T12:20:05Z</dcterms:modified>
</cp:coreProperties>
</file>